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5486f2aa395b01/Documentos/Dio/Reclame Aqui - Dados e IA/"/>
    </mc:Choice>
  </mc:AlternateContent>
  <xr:revisionPtr revIDLastSave="692" documentId="8_{4F883974-26CF-4AA3-B4A9-51076A923AE4}" xr6:coauthVersionLast="47" xr6:coauthVersionMax="47" xr10:uidLastSave="{AA1F2F35-4FFC-4AFF-BF5B-8C9A31B586EF}"/>
  <bookViews>
    <workbookView xWindow="-108" yWindow="-108" windowWidth="23256" windowHeight="12456" tabRatio="43" firstSheet="1" activeTab="1" xr2:uid="{F6F1ABC3-C436-4C15-BEBF-1F9944141F9B}"/>
  </bookViews>
  <sheets>
    <sheet name="Perguntas De Negócio" sheetId="1" r:id="rId1"/>
    <sheet name="App" sheetId="2" r:id="rId2"/>
    <sheet name="Suport" sheetId="3" r:id="rId3"/>
  </sheets>
  <definedNames>
    <definedName name="aporte">App!$D$21</definedName>
    <definedName name="patrimonio">App!$D$24</definedName>
    <definedName name="qtd_anos">App!$D$22</definedName>
    <definedName name="rendimento_carteira">App!$D$17</definedName>
    <definedName name="salario">App!$D$16</definedName>
    <definedName name="sugestao_investimento">App!$B$18</definedName>
    <definedName name="taxa_mensal">App!$D$23</definedName>
    <definedName name="valor_sugerido">App!$C$35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4" i="2" l="1"/>
  <c r="D18" i="2"/>
  <c r="C39" i="2"/>
  <c r="C40" i="2"/>
  <c r="C41" i="2"/>
  <c r="C42" i="2"/>
  <c r="C43" i="2"/>
  <c r="C38" i="2"/>
  <c r="A16" i="3"/>
  <c r="A17" i="3"/>
  <c r="A18" i="3"/>
  <c r="A19" i="3"/>
  <c r="A20" i="3"/>
  <c r="A15" i="3"/>
  <c r="A10" i="3"/>
  <c r="A11" i="3"/>
  <c r="A12" i="3"/>
  <c r="A13" i="3"/>
  <c r="A14" i="3"/>
  <c r="A9" i="3"/>
  <c r="A4" i="3"/>
  <c r="A3" i="3"/>
  <c r="A5" i="3"/>
  <c r="A6" i="3"/>
  <c r="A7" i="3"/>
  <c r="A8" i="3"/>
  <c r="C32" i="2" l="1"/>
  <c r="D32" i="2" s="1"/>
  <c r="C35" i="2"/>
  <c r="C31" i="2"/>
  <c r="D31" i="2" s="1"/>
  <c r="C28" i="2"/>
  <c r="D28" i="2" s="1"/>
  <c r="D25" i="2"/>
  <c r="C29" i="2"/>
  <c r="D29" i="2" s="1"/>
  <c r="C30" i="2"/>
  <c r="D30" i="2" s="1"/>
  <c r="D40" i="2" l="1"/>
  <c r="D41" i="2"/>
  <c r="D42" i="2"/>
  <c r="D38" i="2"/>
  <c r="D43" i="2"/>
  <c r="D39" i="2"/>
  <c r="D44" i="2" l="1"/>
</calcChain>
</file>

<file path=xl/sharedStrings.xml><?xml version="1.0" encoding="utf-8"?>
<sst xmlns="http://schemas.openxmlformats.org/spreadsheetml/2006/main" count="79" uniqueCount="37">
  <si>
    <t>Este projeto tem o foco de desenvolver uma ferramenta a qual auxilie pessoas que desejam investir em fundos imobiliarios</t>
  </si>
  <si>
    <t>Perguntas de Negócio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</si>
  <si>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</si>
  <si>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</si>
  <si>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</si>
  <si>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</si>
  <si>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</si>
  <si>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</si>
  <si>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</si>
  <si>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</si>
  <si>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</si>
  <si>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Cenários</t>
  </si>
  <si>
    <t>Quanto em 30 anos?</t>
  </si>
  <si>
    <t>Dividendo</t>
  </si>
  <si>
    <t>Rendimento Carteira</t>
  </si>
  <si>
    <t>Salário</t>
  </si>
  <si>
    <t>CONFIGURAÇÕES</t>
  </si>
  <si>
    <t>INVESTIMENTO MENSAL</t>
  </si>
  <si>
    <t>Moderado</t>
  </si>
  <si>
    <t>Agressivo</t>
  </si>
  <si>
    <t>Conservador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</si>
  <si>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</si>
  <si>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</si>
  <si>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</si>
  <si>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</si>
  <si>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</si>
  <si>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</si>
  <si>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</si>
  <si>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</si>
  <si>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</si>
  <si>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</si>
  <si>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</si>
  <si>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</si>
  <si>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 xml:space="preserve"> </t>
  </si>
  <si>
    <t>CHAVE</t>
  </si>
  <si>
    <t>Sugestão de Investimento (30%)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</si>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</sst>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0.000%"/>
    <numFmt numFmtId="165" formatCode="&quot;R$&quot;\ #,##0.00"/>
    <numFmt numFmtId="166" formatCode="&quot;R$&quot;\ #,##0.000;[Red]\-&quot;R$&quot;\ #,##0.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/>
      <diagonal/>
    </border>
  </borders>
  <cellStyleXfs count="2">
    <xf numFmtId="0" fontId="0" fillId="0" borderId="0"/>
    <xf numFmtId="0" fontId="7" fillId="3" borderId="0" applyNumberFormat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8" fontId="0" fillId="2" borderId="6" xfId="0" applyNumberFormat="1" applyFill="1" applyBorder="1" applyAlignment="1">
      <alignment horizontal="center" vertical="center"/>
    </xf>
    <xf numFmtId="8" fontId="0" fillId="2" borderId="7" xfId="0" applyNumberFormat="1" applyFill="1" applyBorder="1" applyAlignment="1">
      <alignment horizontal="center" vertical="center"/>
    </xf>
    <xf numFmtId="8" fontId="0" fillId="2" borderId="13" xfId="0" applyNumberFormat="1" applyFill="1" applyBorder="1" applyAlignment="1">
      <alignment horizontal="center" vertical="center"/>
    </xf>
    <xf numFmtId="8" fontId="0" fillId="2" borderId="9" xfId="0" applyNumberFormat="1" applyFill="1" applyBorder="1" applyAlignment="1">
      <alignment horizontal="center" vertical="center"/>
    </xf>
    <xf numFmtId="8" fontId="0" fillId="2" borderId="19" xfId="0" applyNumberFormat="1" applyFill="1" applyBorder="1" applyAlignment="1">
      <alignment horizontal="center" vertical="center"/>
    </xf>
    <xf numFmtId="8" fontId="1" fillId="2" borderId="11" xfId="0" applyNumberFormat="1" applyFont="1" applyFill="1" applyBorder="1" applyAlignment="1">
      <alignment horizontal="center" vertical="center"/>
    </xf>
    <xf numFmtId="166" fontId="1" fillId="2" borderId="14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indent="3"/>
    </xf>
    <xf numFmtId="0" fontId="5" fillId="2" borderId="10" xfId="0" applyFont="1" applyFill="1" applyBorder="1" applyAlignment="1">
      <alignment horizontal="left" indent="3"/>
    </xf>
    <xf numFmtId="0" fontId="5" fillId="2" borderId="12" xfId="0" applyFont="1" applyFill="1" applyBorder="1" applyAlignment="1">
      <alignment horizontal="left" indent="3"/>
    </xf>
    <xf numFmtId="165" fontId="0" fillId="2" borderId="18" xfId="0" applyNumberForma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indent="3"/>
    </xf>
    <xf numFmtId="0" fontId="6" fillId="2" borderId="13" xfId="0" applyFont="1" applyFill="1" applyBorder="1" applyAlignment="1">
      <alignment horizontal="left" indent="3"/>
    </xf>
    <xf numFmtId="0" fontId="5" fillId="0" borderId="20" xfId="0" applyFont="1" applyBorder="1" applyAlignment="1">
      <alignment horizontal="left" indent="3"/>
    </xf>
    <xf numFmtId="0" fontId="5" fillId="0" borderId="4" xfId="0" applyFont="1" applyBorder="1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5" xfId="0" applyBorder="1" applyAlignment="1">
      <alignment horizontal="left" indent="3"/>
    </xf>
    <xf numFmtId="0" fontId="5" fillId="0" borderId="8" xfId="0" applyFont="1" applyBorder="1" applyAlignment="1">
      <alignment horizontal="left" indent="3"/>
    </xf>
    <xf numFmtId="0" fontId="5" fillId="0" borderId="6" xfId="0" applyFont="1" applyBorder="1" applyAlignment="1">
      <alignment horizontal="left" indent="3"/>
    </xf>
    <xf numFmtId="0" fontId="5" fillId="0" borderId="10" xfId="0" applyFont="1" applyBorder="1" applyAlignment="1">
      <alignment horizontal="left" indent="3"/>
    </xf>
    <xf numFmtId="0" fontId="5" fillId="0" borderId="7" xfId="0" applyFont="1" applyBorder="1" applyAlignment="1">
      <alignment horizontal="left" indent="3"/>
    </xf>
    <xf numFmtId="0" fontId="6" fillId="2" borderId="10" xfId="0" applyFont="1" applyFill="1" applyBorder="1" applyAlignment="1">
      <alignment horizontal="left" indent="3"/>
    </xf>
    <xf numFmtId="0" fontId="6" fillId="2" borderId="7" xfId="0" applyFont="1" applyFill="1" applyBorder="1" applyAlignment="1">
      <alignment horizontal="left" indent="3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17" xfId="0" applyFill="1" applyBorder="1" applyAlignment="1">
      <alignment horizontal="left" indent="3"/>
    </xf>
    <xf numFmtId="0" fontId="0" fillId="2" borderId="22" xfId="0" applyFill="1" applyBorder="1" applyAlignment="1">
      <alignment horizontal="left" indent="3"/>
    </xf>
    <xf numFmtId="0" fontId="1" fillId="2" borderId="31" xfId="0" applyFont="1" applyFill="1" applyBorder="1"/>
    <xf numFmtId="165" fontId="1" fillId="2" borderId="32" xfId="0" applyNumberFormat="1" applyFont="1" applyFill="1" applyBorder="1" applyAlignment="1">
      <alignment horizontal="center"/>
    </xf>
    <xf numFmtId="165" fontId="1" fillId="2" borderId="33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8" fillId="4" borderId="29" xfId="1" applyFont="1" applyFill="1" applyBorder="1" applyAlignment="1">
      <alignment horizontal="left" indent="3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165" fontId="8" fillId="4" borderId="28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25" xfId="0" applyBorder="1" applyAlignment="1">
      <alignment horizontal="left"/>
    </xf>
    <xf numFmtId="9" fontId="0" fillId="0" borderId="26" xfId="0" applyNumberFormat="1" applyBorder="1" applyAlignment="1">
      <alignment horizontal="center"/>
    </xf>
    <xf numFmtId="0" fontId="0" fillId="0" borderId="27" xfId="0" applyBorder="1" applyAlignment="1">
      <alignment horizontal="left"/>
    </xf>
    <xf numFmtId="9" fontId="0" fillId="0" borderId="28" xfId="0" applyNumberFormat="1" applyBorder="1" applyAlignment="1">
      <alignment horizontal="center"/>
    </xf>
    <xf numFmtId="165" fontId="0" fillId="2" borderId="38" xfId="0" applyNumberFormat="1" applyFill="1" applyBorder="1" applyAlignment="1">
      <alignment horizontal="center" vertical="center"/>
    </xf>
    <xf numFmtId="165" fontId="0" fillId="2" borderId="40" xfId="0" applyNumberFormat="1" applyFill="1" applyBorder="1" applyAlignment="1">
      <alignment horizontal="center" vertical="center"/>
    </xf>
    <xf numFmtId="165" fontId="0" fillId="2" borderId="42" xfId="0" applyNumberFormat="1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9" fontId="0" fillId="2" borderId="34" xfId="0" applyNumberForma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9" fontId="0" fillId="2" borderId="35" xfId="0" applyNumberFormat="1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9" fontId="0" fillId="2" borderId="36" xfId="0" applyNumberForma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165" fontId="0" fillId="0" borderId="21" xfId="0" applyNumberFormat="1" applyBorder="1" applyAlignment="1" applyProtection="1">
      <alignment horizontal="center" vertical="center"/>
      <protection locked="0"/>
    </xf>
    <xf numFmtId="10" fontId="0" fillId="0" borderId="16" xfId="0" applyNumberFormat="1" applyBorder="1" applyAlignment="1" applyProtection="1">
      <alignment horizontal="center" vertical="center"/>
      <protection locked="0"/>
    </xf>
    <xf numFmtId="165" fontId="1" fillId="0" borderId="9" xfId="0" applyNumberFormat="1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164" fontId="1" fillId="0" borderId="11" xfId="0" applyNumberFormat="1" applyFont="1" applyBorder="1" applyAlignment="1" applyProtection="1">
      <alignment horizontal="center" vertical="center"/>
      <protection locked="0"/>
    </xf>
    <xf numFmtId="0" fontId="8" fillId="4" borderId="23" xfId="1" applyFont="1" applyFill="1" applyBorder="1" applyAlignment="1" applyProtection="1">
      <alignment horizontal="center"/>
      <protection locked="0"/>
    </xf>
    <xf numFmtId="0" fontId="8" fillId="4" borderId="30" xfId="1" applyFont="1" applyFill="1" applyBorder="1" applyAlignment="1" applyProtection="1">
      <alignment horizontal="center"/>
      <protection locked="0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App!$C$38:$C$43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D-4B12-9B37-F0612AE12BE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4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App!$D$38:$D$43</c:f>
              <c:numCache>
                <c:formatCode>"R$"\ #,##0.00</c:formatCode>
                <c:ptCount val="6"/>
                <c:pt idx="0">
                  <c:v>150</c:v>
                </c:pt>
                <c:pt idx="1">
                  <c:v>250</c:v>
                </c:pt>
                <c:pt idx="2">
                  <c:v>50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CD-4B12-9B37-F0612AE12B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396282073589695"/>
          <c:y val="0.10449825756755608"/>
          <c:w val="0.2755252697331062"/>
          <c:h val="0.79448423862622597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44</xdr:row>
      <xdr:rowOff>89648</xdr:rowOff>
    </xdr:from>
    <xdr:to>
      <xdr:col>4</xdr:col>
      <xdr:colOff>0</xdr:colOff>
      <xdr:row>64</xdr:row>
      <xdr:rowOff>152401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883D86-AD92-8720-FCD6-F9780D3D0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806167</xdr:colOff>
      <xdr:row>1</xdr:row>
      <xdr:rowOff>5246</xdr:rowOff>
    </xdr:from>
    <xdr:to>
      <xdr:col>4</xdr:col>
      <xdr:colOff>142779</xdr:colOff>
      <xdr:row>13</xdr:row>
      <xdr:rowOff>166610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60AF2D7-D458-5DCD-73EA-54FF32A991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1" r="131"/>
        <a:stretch>
          <a:fillRect/>
        </a:stretch>
      </xdr:blipFill>
      <xdr:spPr>
        <a:xfrm>
          <a:off x="806167" y="187383"/>
          <a:ext cx="7584797" cy="2347003"/>
        </a:xfrm>
        <a:prstGeom prst="round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2DC4D-6486-47BB-B3E5-D83BC8FD2430}">
  <dimension ref="B2:L10"/>
  <sheetViews>
    <sheetView workbookViewId="0">
      <selection activeCell="B6" sqref="B6:B10"/>
    </sheetView>
  </sheetViews>
  <sheetFormatPr defaultRowHeight="14.4" x14ac:dyDescent="0.3"/>
  <sheetData>
    <row r="2" spans="2:12" x14ac:dyDescent="0.3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spans="2:12" x14ac:dyDescent="0.3">
      <c r="B4" s="1" t="s">
        <v>1</v>
      </c>
    </row>
    <row r="6" spans="2:12" x14ac:dyDescent="0.3">
      <c r="B6" s="1" t="s">
        <v>2</v>
      </c>
      <c r="C6" s="1"/>
    </row>
    <row r="7" spans="2:12" x14ac:dyDescent="0.3">
      <c r="B7" s="1" t="s">
        <v>3</v>
      </c>
      <c r="C7" s="1"/>
    </row>
    <row r="8" spans="2:12" x14ac:dyDescent="0.3">
      <c r="B8" s="1" t="s">
        <v>4</v>
      </c>
      <c r="C8" s="1"/>
    </row>
    <row r="9" spans="2:12" x14ac:dyDescent="0.3">
      <c r="B9" s="1" t="s">
        <v>5</v>
      </c>
      <c r="C9" s="1"/>
    </row>
    <row r="10" spans="2:12" x14ac:dyDescent="0.3">
      <c r="B10" s="1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615C-CFD4-4C22-9A83-36223EE819E9}">
  <dimension ref="A1:H49"/>
  <sheetViews>
    <sheetView showGridLines="0" showRowColHeaders="0" tabSelected="1" zoomScale="85" zoomScaleNormal="85" workbookViewId="0">
      <selection activeCell="C34" sqref="C34:D34"/>
    </sheetView>
  </sheetViews>
  <sheetFormatPr defaultColWidth="0" defaultRowHeight="14.4" x14ac:dyDescent="0.3"/>
  <cols>
    <col min="1" max="1" width="15.77734375" customWidth="1"/>
    <col min="2" max="3" width="45.77734375" customWidth="1"/>
    <col min="4" max="4" width="12.88671875" bestFit="1" customWidth="1"/>
    <col min="5" max="5" width="15.77734375" customWidth="1"/>
    <col min="6" max="6" width="3" hidden="1" customWidth="1"/>
    <col min="7" max="8" width="2.21875" hidden="1" customWidth="1"/>
    <col min="9" max="11" width="8.88671875" hidden="1" customWidth="1"/>
    <col min="12" max="16384" width="8.88671875" hidden="1"/>
  </cols>
  <sheetData>
    <row r="1" spans="1:5" s="64" customFormat="1" x14ac:dyDescent="0.3">
      <c r="A1" s="65"/>
      <c r="B1" s="65"/>
      <c r="C1" s="65"/>
      <c r="D1" s="65"/>
      <c r="E1" s="65"/>
    </row>
    <row r="14" spans="1:5" ht="26.4" customHeight="1" thickBot="1" x14ac:dyDescent="0.35"/>
    <row r="15" spans="1:5" ht="25.8" x14ac:dyDescent="0.3">
      <c r="B15" s="39" t="s">
        <v>16</v>
      </c>
      <c r="C15" s="40"/>
      <c r="D15" s="41"/>
    </row>
    <row r="16" spans="1:5" ht="16.2" thickBot="1" x14ac:dyDescent="0.35">
      <c r="B16" s="16" t="s">
        <v>15</v>
      </c>
      <c r="C16" s="17"/>
      <c r="D16" s="66">
        <v>5000</v>
      </c>
    </row>
    <row r="17" spans="1:5" ht="15" thickBot="1" x14ac:dyDescent="0.35">
      <c r="B17" s="18" t="s">
        <v>14</v>
      </c>
      <c r="C17" s="19"/>
      <c r="D17" s="67">
        <v>8.9999999999999993E-3</v>
      </c>
    </row>
    <row r="18" spans="1:5" ht="15" thickBot="1" x14ac:dyDescent="0.35">
      <c r="B18" s="29" t="s">
        <v>35</v>
      </c>
      <c r="C18" s="30"/>
      <c r="D18" s="13">
        <f>salario*30%</f>
        <v>1500</v>
      </c>
    </row>
    <row r="19" spans="1:5" ht="19.95" customHeight="1" thickBot="1" x14ac:dyDescent="0.35"/>
    <row r="20" spans="1:5" ht="27" customHeight="1" x14ac:dyDescent="0.3">
      <c r="B20" s="34" t="s">
        <v>17</v>
      </c>
      <c r="C20" s="35"/>
      <c r="D20" s="36"/>
    </row>
    <row r="21" spans="1:5" ht="16.2" thickBot="1" x14ac:dyDescent="0.35">
      <c r="B21" s="20" t="s">
        <v>2</v>
      </c>
      <c r="C21" s="21"/>
      <c r="D21" s="68">
        <v>500</v>
      </c>
    </row>
    <row r="22" spans="1:5" ht="16.2" thickBot="1" x14ac:dyDescent="0.35">
      <c r="B22" s="22" t="s">
        <v>3</v>
      </c>
      <c r="C22" s="23"/>
      <c r="D22" s="69">
        <v>5</v>
      </c>
      <c r="E22" t="s">
        <v>33</v>
      </c>
    </row>
    <row r="23" spans="1:5" ht="16.2" thickBot="1" x14ac:dyDescent="0.35">
      <c r="B23" s="22" t="s">
        <v>4</v>
      </c>
      <c r="C23" s="23"/>
      <c r="D23" s="70">
        <v>1.0789999999999999E-2</v>
      </c>
    </row>
    <row r="24" spans="1:5" ht="16.2" thickBot="1" x14ac:dyDescent="0.35">
      <c r="B24" s="24" t="s">
        <v>5</v>
      </c>
      <c r="C24" s="25"/>
      <c r="D24" s="8">
        <f>FV(taxa_mensal,qtd_anos*12,aporte*-1)</f>
        <v>41888.456999243819</v>
      </c>
    </row>
    <row r="25" spans="1:5" ht="16.2" thickBot="1" x14ac:dyDescent="0.35">
      <c r="B25" s="14" t="s">
        <v>6</v>
      </c>
      <c r="C25" s="15"/>
      <c r="D25" s="9">
        <f>patrimonio*rendimento_carteira</f>
        <v>376.99611299319434</v>
      </c>
    </row>
    <row r="26" spans="1:5" ht="19.95" customHeight="1" thickBot="1" x14ac:dyDescent="0.35"/>
    <row r="27" spans="1:5" ht="25.8" x14ac:dyDescent="0.3">
      <c r="B27" s="34" t="s">
        <v>11</v>
      </c>
      <c r="C27" s="35"/>
      <c r="D27" s="37" t="s">
        <v>13</v>
      </c>
    </row>
    <row r="28" spans="1:5" ht="16.2" thickBot="1" x14ac:dyDescent="0.35">
      <c r="A28" s="2">
        <v>2</v>
      </c>
      <c r="B28" s="10" t="s">
        <v>7</v>
      </c>
      <c r="C28" s="3">
        <f>FV($D$23,$A28*12,$D$21*-1)</f>
        <v>13613.813648822608</v>
      </c>
      <c r="D28" s="6">
        <f>C28*rendimento_carteira</f>
        <v>122.52432283940347</v>
      </c>
    </row>
    <row r="29" spans="1:5" ht="16.2" thickBot="1" x14ac:dyDescent="0.35">
      <c r="A29" s="2">
        <v>5</v>
      </c>
      <c r="B29" s="11" t="s">
        <v>8</v>
      </c>
      <c r="C29" s="4">
        <f>FV($D$23,$A29*12,$D$21*-1)</f>
        <v>41888.456999243819</v>
      </c>
      <c r="D29" s="6">
        <f>C29*rendimento_carteira</f>
        <v>376.99611299319434</v>
      </c>
    </row>
    <row r="30" spans="1:5" ht="16.2" thickBot="1" x14ac:dyDescent="0.35">
      <c r="A30" s="2">
        <v>10</v>
      </c>
      <c r="B30" s="11" t="s">
        <v>9</v>
      </c>
      <c r="C30" s="4">
        <f>FV($D$23,$A30*12,$D$21*-1)</f>
        <v>121642.1062650861</v>
      </c>
      <c r="D30" s="6">
        <f>C30*rendimento_carteira</f>
        <v>1094.7789563857748</v>
      </c>
    </row>
    <row r="31" spans="1:5" ht="16.2" thickBot="1" x14ac:dyDescent="0.35">
      <c r="A31" s="2">
        <v>20</v>
      </c>
      <c r="B31" s="11" t="s">
        <v>10</v>
      </c>
      <c r="C31" s="4">
        <f>FV($D$23,$A31*12,$D$21*-1)</f>
        <v>562599.20004854025</v>
      </c>
      <c r="D31" s="6">
        <f>C31*rendimento_carteira</f>
        <v>5063.3928004368618</v>
      </c>
    </row>
    <row r="32" spans="1:5" ht="16.2" thickBot="1" x14ac:dyDescent="0.35">
      <c r="A32" s="2">
        <v>30</v>
      </c>
      <c r="B32" s="12" t="s">
        <v>12</v>
      </c>
      <c r="C32" s="5">
        <f>FV($D$23,$A32*12,$D$21*-1)</f>
        <v>2161084.8275023573</v>
      </c>
      <c r="D32" s="7">
        <f>C32*rendimento_carteira</f>
        <v>19449.763447521214</v>
      </c>
    </row>
    <row r="33" spans="2:5" ht="19.95" customHeight="1" x14ac:dyDescent="0.3"/>
    <row r="34" spans="2:5" x14ac:dyDescent="0.3">
      <c r="B34" s="38" t="s">
        <v>22</v>
      </c>
      <c r="C34" s="71" t="s">
        <v>20</v>
      </c>
      <c r="D34" s="72"/>
    </row>
    <row r="35" spans="2:5" x14ac:dyDescent="0.3">
      <c r="B35" s="31" t="s">
        <v>21</v>
      </c>
      <c r="C35" s="32">
        <f>aporte</f>
        <v>500</v>
      </c>
      <c r="D35" s="33"/>
    </row>
    <row r="36" spans="2:5" ht="19.95" customHeight="1" thickBot="1" x14ac:dyDescent="0.35"/>
    <row r="37" spans="2:5" x14ac:dyDescent="0.3">
      <c r="B37" s="42" t="s">
        <v>23</v>
      </c>
      <c r="C37" s="43" t="s">
        <v>24</v>
      </c>
      <c r="D37" s="44" t="s">
        <v>25</v>
      </c>
    </row>
    <row r="38" spans="2:5" x14ac:dyDescent="0.3">
      <c r="B38" s="58" t="s">
        <v>26</v>
      </c>
      <c r="C38" s="59">
        <f>VLOOKUP($C$34&amp;"-"&amp;B38,Suport!$A$2:$D$20,4,)</f>
        <v>0.3</v>
      </c>
      <c r="D38" s="55">
        <f>C38*valor_sugerido</f>
        <v>150</v>
      </c>
    </row>
    <row r="39" spans="2:5" x14ac:dyDescent="0.3">
      <c r="B39" s="60" t="s">
        <v>27</v>
      </c>
      <c r="C39" s="61">
        <f>VLOOKUP($C$34&amp;"-"&amp;B39,Suport!$A$2:$D$20,4,)</f>
        <v>0.5</v>
      </c>
      <c r="D39" s="56">
        <f>C39*valor_sugerido</f>
        <v>250</v>
      </c>
      <c r="E39" t="s">
        <v>33</v>
      </c>
    </row>
    <row r="40" spans="2:5" x14ac:dyDescent="0.3">
      <c r="B40" s="60" t="s">
        <v>28</v>
      </c>
      <c r="C40" s="61">
        <f>VLOOKUP($C$34&amp;"-"&amp;B40,Suport!$A$2:$D$20,4,)</f>
        <v>0.1</v>
      </c>
      <c r="D40" s="56">
        <f>C40*valor_sugerido</f>
        <v>50</v>
      </c>
    </row>
    <row r="41" spans="2:5" x14ac:dyDescent="0.3">
      <c r="B41" s="60" t="s">
        <v>29</v>
      </c>
      <c r="C41" s="61">
        <f>VLOOKUP($C$34&amp;"-"&amp;B41,Suport!$A$2:$D$20,4,)</f>
        <v>0.1</v>
      </c>
      <c r="D41" s="56">
        <f>C41*valor_sugerido</f>
        <v>50</v>
      </c>
    </row>
    <row r="42" spans="2:5" x14ac:dyDescent="0.3">
      <c r="B42" s="60" t="s">
        <v>30</v>
      </c>
      <c r="C42" s="61">
        <f>VLOOKUP($C$34&amp;"-"&amp;B42,Suport!$A$2:$D$20,4,)</f>
        <v>0</v>
      </c>
      <c r="D42" s="56">
        <f>C42*valor_sugerido</f>
        <v>0</v>
      </c>
    </row>
    <row r="43" spans="2:5" x14ac:dyDescent="0.3">
      <c r="B43" s="62" t="s">
        <v>31</v>
      </c>
      <c r="C43" s="63">
        <f>VLOOKUP($C$34&amp;"-"&amp;B43,Suport!$A$2:$D$20,4,)</f>
        <v>0</v>
      </c>
      <c r="D43" s="57">
        <f>C43*valor_sugerido</f>
        <v>0</v>
      </c>
    </row>
    <row r="44" spans="2:5" ht="15" thickBot="1" x14ac:dyDescent="0.35">
      <c r="B44" s="45" t="s">
        <v>36</v>
      </c>
      <c r="C44" s="46"/>
      <c r="D44" s="47">
        <f>SUM(D38:D43)</f>
        <v>500</v>
      </c>
    </row>
    <row r="45" spans="2:5" ht="19.95" customHeight="1" x14ac:dyDescent="0.3">
      <c r="B45" s="26"/>
      <c r="C45" s="26"/>
      <c r="D45" s="26"/>
    </row>
    <row r="46" spans="2:5" x14ac:dyDescent="0.3">
      <c r="B46" s="26"/>
      <c r="C46" s="26"/>
      <c r="D46" s="26"/>
    </row>
    <row r="47" spans="2:5" x14ac:dyDescent="0.3">
      <c r="B47" s="26"/>
      <c r="C47" s="26"/>
      <c r="D47" s="26"/>
    </row>
    <row r="48" spans="2:5" x14ac:dyDescent="0.3">
      <c r="B48" s="26"/>
      <c r="C48" s="26"/>
      <c r="D48" s="26"/>
    </row>
    <row r="49" spans="2:4" x14ac:dyDescent="0.3">
      <c r="B49" s="26"/>
      <c r="C49" s="26"/>
      <c r="D49" s="26"/>
    </row>
  </sheetData>
  <sheetProtection algorithmName="SHA-512" hashValue="RF4wGjdTMqH9lGOSKhyFK8pMQkN09gz4WZ2KJOTcejpuRw+E/GHx3J2Fdmwd6hD+jh7uNduhcdTJC0ZEEvs/pg==" saltValue="ruVvdOhqZLE1Ybj0+r5Slw==" spinCount="100000" sheet="1" objects="1" scenarios="1"/>
  <mergeCells count="13">
    <mergeCell ref="C34:D34"/>
    <mergeCell ref="C35:D35"/>
    <mergeCell ref="B27:C27"/>
    <mergeCell ref="B20:D20"/>
    <mergeCell ref="B21:C21"/>
    <mergeCell ref="B22:C22"/>
    <mergeCell ref="B23:C23"/>
    <mergeCell ref="B24:C24"/>
    <mergeCell ref="B25:C25"/>
    <mergeCell ref="B15:D15"/>
    <mergeCell ref="B16:C16"/>
    <mergeCell ref="B17:C17"/>
    <mergeCell ref="B18:C18"/>
  </mergeCells>
  <dataValidations count="1">
    <dataValidation type="list" allowBlank="1" showInputMessage="1" showErrorMessage="1" sqref="C34" xr:uid="{D77E3ED4-CF0F-4EC3-A0E0-84B5153259C0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7189-12F5-4601-BA66-E64CC91F6C5E}">
  <dimension ref="A1:D20"/>
  <sheetViews>
    <sheetView workbookViewId="0">
      <selection activeCell="H7" sqref="H7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</cols>
  <sheetData>
    <row r="1" spans="1:4" ht="15" thickBot="1" x14ac:dyDescent="0.35"/>
    <row r="2" spans="1:4" x14ac:dyDescent="0.3">
      <c r="A2" s="48" t="s">
        <v>34</v>
      </c>
      <c r="B2" s="49" t="s">
        <v>22</v>
      </c>
      <c r="C2" s="49" t="s">
        <v>23</v>
      </c>
      <c r="D2" s="50" t="s">
        <v>32</v>
      </c>
    </row>
    <row r="3" spans="1:4" x14ac:dyDescent="0.3">
      <c r="A3" s="51" t="str">
        <f>$B$3&amp;"-"&amp;C3</f>
        <v>Conservador-PAPEL</v>
      </c>
      <c r="B3" s="27" t="s">
        <v>20</v>
      </c>
      <c r="C3" s="27" t="s">
        <v>26</v>
      </c>
      <c r="D3" s="52">
        <v>0.3</v>
      </c>
    </row>
    <row r="4" spans="1:4" x14ac:dyDescent="0.3">
      <c r="A4" s="51" t="str">
        <f>$B$3&amp;"-"&amp;C4</f>
        <v>Conservador-TIJOLO</v>
      </c>
      <c r="B4" s="27" t="s">
        <v>20</v>
      </c>
      <c r="C4" s="27" t="s">
        <v>27</v>
      </c>
      <c r="D4" s="52">
        <v>0.5</v>
      </c>
    </row>
    <row r="5" spans="1:4" x14ac:dyDescent="0.3">
      <c r="A5" s="51" t="str">
        <f t="shared" ref="A4:A20" si="0">$B$3&amp;"-"&amp;C5</f>
        <v>Conservador-HÍBRIDOS</v>
      </c>
      <c r="B5" s="27" t="s">
        <v>20</v>
      </c>
      <c r="C5" s="27" t="s">
        <v>28</v>
      </c>
      <c r="D5" s="52">
        <v>0.1</v>
      </c>
    </row>
    <row r="6" spans="1:4" x14ac:dyDescent="0.3">
      <c r="A6" s="51" t="str">
        <f t="shared" si="0"/>
        <v>Conservador-FOFs</v>
      </c>
      <c r="B6" s="27" t="s">
        <v>20</v>
      </c>
      <c r="C6" s="27" t="s">
        <v>29</v>
      </c>
      <c r="D6" s="52">
        <v>0.1</v>
      </c>
    </row>
    <row r="7" spans="1:4" x14ac:dyDescent="0.3">
      <c r="A7" s="51" t="str">
        <f t="shared" si="0"/>
        <v>Conservador-DESENVOLVIMENTO</v>
      </c>
      <c r="B7" s="27" t="s">
        <v>20</v>
      </c>
      <c r="C7" s="27" t="s">
        <v>30</v>
      </c>
      <c r="D7" s="52">
        <v>0</v>
      </c>
    </row>
    <row r="8" spans="1:4" ht="15" thickBot="1" x14ac:dyDescent="0.35">
      <c r="A8" s="53" t="str">
        <f t="shared" si="0"/>
        <v>Conservador-HOTELARIAS</v>
      </c>
      <c r="B8" s="28" t="s">
        <v>20</v>
      </c>
      <c r="C8" s="28" t="s">
        <v>31</v>
      </c>
      <c r="D8" s="54">
        <v>0</v>
      </c>
    </row>
    <row r="9" spans="1:4" x14ac:dyDescent="0.3">
      <c r="A9" s="51" t="str">
        <f>$B$9&amp;"-"&amp;C9</f>
        <v>Moderado-PAPEL</v>
      </c>
      <c r="B9" s="27" t="s">
        <v>18</v>
      </c>
      <c r="C9" s="27" t="s">
        <v>26</v>
      </c>
      <c r="D9" s="52">
        <v>0.32</v>
      </c>
    </row>
    <row r="10" spans="1:4" x14ac:dyDescent="0.3">
      <c r="A10" s="51" t="str">
        <f t="shared" ref="A10:A14" si="1">$B$9&amp;"-"&amp;C10</f>
        <v>Moderado-TIJOLO</v>
      </c>
      <c r="B10" s="27" t="s">
        <v>18</v>
      </c>
      <c r="C10" s="27" t="s">
        <v>27</v>
      </c>
      <c r="D10" s="52">
        <v>0.35</v>
      </c>
    </row>
    <row r="11" spans="1:4" x14ac:dyDescent="0.3">
      <c r="A11" s="51" t="str">
        <f t="shared" si="1"/>
        <v>Moderado-HÍBRIDOS</v>
      </c>
      <c r="B11" s="27" t="s">
        <v>18</v>
      </c>
      <c r="C11" s="27" t="s">
        <v>28</v>
      </c>
      <c r="D11" s="52">
        <v>0.08</v>
      </c>
    </row>
    <row r="12" spans="1:4" x14ac:dyDescent="0.3">
      <c r="A12" s="51" t="str">
        <f t="shared" si="1"/>
        <v>Moderado-FOFs</v>
      </c>
      <c r="B12" s="27" t="s">
        <v>18</v>
      </c>
      <c r="C12" s="27" t="s">
        <v>29</v>
      </c>
      <c r="D12" s="52">
        <v>0.05</v>
      </c>
    </row>
    <row r="13" spans="1:4" x14ac:dyDescent="0.3">
      <c r="A13" s="51" t="str">
        <f t="shared" si="1"/>
        <v>Moderado-DESENVOLVIMENTO</v>
      </c>
      <c r="B13" s="27" t="s">
        <v>18</v>
      </c>
      <c r="C13" s="27" t="s">
        <v>30</v>
      </c>
      <c r="D13" s="52">
        <v>0.1</v>
      </c>
    </row>
    <row r="14" spans="1:4" ht="15" thickBot="1" x14ac:dyDescent="0.35">
      <c r="A14" s="53" t="str">
        <f t="shared" si="1"/>
        <v>Moderado-HOTELARIAS</v>
      </c>
      <c r="B14" s="28" t="s">
        <v>18</v>
      </c>
      <c r="C14" s="28" t="s">
        <v>31</v>
      </c>
      <c r="D14" s="54">
        <v>0.1</v>
      </c>
    </row>
    <row r="15" spans="1:4" x14ac:dyDescent="0.3">
      <c r="A15" s="51" t="str">
        <f>$B$15&amp;"-"&amp;C15</f>
        <v>Agressivo-PAPEL</v>
      </c>
      <c r="B15" s="27" t="s">
        <v>19</v>
      </c>
      <c r="C15" s="27" t="s">
        <v>26</v>
      </c>
      <c r="D15" s="52">
        <v>0.5</v>
      </c>
    </row>
    <row r="16" spans="1:4" x14ac:dyDescent="0.3">
      <c r="A16" s="51" t="str">
        <f t="shared" ref="A16:A20" si="2">$B$15&amp;"-"&amp;C16</f>
        <v>Agressivo-TIJOLO</v>
      </c>
      <c r="B16" s="27" t="s">
        <v>19</v>
      </c>
      <c r="C16" s="27" t="s">
        <v>27</v>
      </c>
      <c r="D16" s="52">
        <v>0.1</v>
      </c>
    </row>
    <row r="17" spans="1:4" x14ac:dyDescent="0.3">
      <c r="A17" s="51" t="str">
        <f t="shared" si="2"/>
        <v>Agressivo-HÍBRIDOS</v>
      </c>
      <c r="B17" s="27" t="s">
        <v>19</v>
      </c>
      <c r="C17" s="27" t="s">
        <v>28</v>
      </c>
      <c r="D17" s="52">
        <v>0.05</v>
      </c>
    </row>
    <row r="18" spans="1:4" x14ac:dyDescent="0.3">
      <c r="A18" s="51" t="str">
        <f t="shared" si="2"/>
        <v>Agressivo-FOFs</v>
      </c>
      <c r="B18" s="27" t="s">
        <v>19</v>
      </c>
      <c r="C18" s="27" t="s">
        <v>29</v>
      </c>
      <c r="D18" s="52">
        <v>0.05</v>
      </c>
    </row>
    <row r="19" spans="1:4" x14ac:dyDescent="0.3">
      <c r="A19" s="51" t="str">
        <f t="shared" si="2"/>
        <v>Agressivo-DESENVOLVIMENTO</v>
      </c>
      <c r="B19" s="27" t="s">
        <v>19</v>
      </c>
      <c r="C19" s="27" t="s">
        <v>30</v>
      </c>
      <c r="D19" s="52">
        <v>0.2</v>
      </c>
    </row>
    <row r="20" spans="1:4" ht="15" thickBot="1" x14ac:dyDescent="0.35">
      <c r="A20" s="53" t="str">
        <f t="shared" si="2"/>
        <v>Agressivo-HOTELARIAS</v>
      </c>
      <c r="B20" s="28" t="s">
        <v>19</v>
      </c>
      <c r="C20" s="28" t="s">
        <v>31</v>
      </c>
      <c r="D20" s="5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8</vt:i4>
      </vt:variant>
    </vt:vector>
  </HeadingPairs>
  <TitlesOfParts>
    <vt:vector size="11" baseType="lpstr">
      <vt:lpstr>Perguntas De Negócio</vt:lpstr>
      <vt:lpstr>App</vt:lpstr>
      <vt:lpstr>Suport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  <vt:lpstr>valor_sugerido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 Augusto</dc:creator>
  <cp:lastModifiedBy>Otavio Augusto</cp:lastModifiedBy>
  <dcterms:created xsi:type="dcterms:W3CDTF">2026-10-22T22:27:49Z</dcterms:created>
  <dcterms:modified xsi:type="dcterms:W3CDTF">2026-10-24T15:18:21Z</dcterms:modified>
</cp:coreProperties>
</file>